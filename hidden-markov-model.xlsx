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21AC63-FE84-43F1-9FA4-606B86AA2F47}" xr6:coauthVersionLast="47" xr6:coauthVersionMax="47" xr10:uidLastSave="{00000000-0000-0000-0000-000000000000}"/>
  <bookViews>
    <workbookView xWindow="-110" yWindow="-110" windowWidth="25820" windowHeight="15500" xr2:uid="{E0FA4032-1E85-404E-909F-092E14C54A49}"/>
  </bookViews>
  <sheets>
    <sheet name="hidden markov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C26" i="1" s="1"/>
  <c r="B25" i="1"/>
  <c r="C37" i="1" s="1"/>
  <c r="B37" i="1"/>
  <c r="C36" i="1" s="1"/>
  <c r="B33" i="1"/>
  <c r="C39" i="1" s="1"/>
  <c r="B17" i="1"/>
  <c r="B16" i="1"/>
  <c r="B15" i="1"/>
  <c r="B14" i="1"/>
  <c r="C40" i="1" l="1"/>
  <c r="C29" i="1"/>
  <c r="C30" i="1"/>
  <c r="C32" i="1"/>
  <c r="C34" i="1"/>
  <c r="C27" i="1"/>
  <c r="C31" i="1"/>
  <c r="C25" i="1"/>
  <c r="D25" i="1" s="1"/>
  <c r="C33" i="1"/>
  <c r="C35" i="1"/>
  <c r="C28" i="1"/>
  <c r="C38" i="1"/>
  <c r="D37" i="1" s="1"/>
  <c r="C17" i="1"/>
  <c r="C16" i="1"/>
  <c r="C14" i="1"/>
  <c r="C15" i="1"/>
  <c r="D15" i="1" l="1"/>
  <c r="D16" i="1"/>
  <c r="E40" i="1"/>
  <c r="E32" i="1"/>
  <c r="E28" i="1"/>
  <c r="F25" i="1" s="1"/>
  <c r="E36" i="1"/>
  <c r="E29" i="1"/>
  <c r="E37" i="1"/>
  <c r="E25" i="1"/>
  <c r="E33" i="1"/>
  <c r="D29" i="1"/>
  <c r="D33" i="1"/>
  <c r="D14" i="1"/>
  <c r="D17" i="1"/>
  <c r="E39" i="1" l="1"/>
  <c r="E35" i="1"/>
  <c r="E27" i="1"/>
  <c r="E31" i="1"/>
  <c r="F29" i="1" s="1"/>
  <c r="E30" i="1"/>
  <c r="E38" i="1"/>
  <c r="F37" i="1" s="1"/>
  <c r="E26" i="1"/>
  <c r="E34" i="1"/>
  <c r="F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tc={6E0FC966-D26C-425C-856D-71AC841FC136}</author>
    <author>tc={7381B599-E4F3-4D80-88F1-D869F95DC37E}</author>
    <author>tc={13BE9172-B876-4071-B7EA-DEA63199AA4E}</author>
    <author>tc={78F07789-0D06-4957-8D21-496D9053E818}</author>
    <author>tc={B7600E98-3F37-4E63-AADB-72934E028332}</author>
    <author>ADMIN</author>
    <author>tc={D2049570-5A05-4E00-BBE7-B622A7C98372}</author>
    <author>tc={345A01E5-9F1A-4C1F-AF92-906358A2DE1D}</author>
    <author>tc={75A1DC63-0521-4B33-BC85-11E41AE0DD93}</author>
  </authors>
  <commentList>
    <comment ref="C25" authorId="0" shapeId="0" xr:uid="{6E0FC966-D26C-425C-856D-71AC841FC136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Party -&gt; Party</t>
      </text>
    </comment>
    <comment ref="C26" authorId="1" shapeId="0" xr:uid="{7381B599-E4F3-4D80-88F1-D869F95DC3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Pub -&gt; Party
</t>
      </text>
    </comment>
    <comment ref="C27" authorId="2" shapeId="0" xr:uid="{13BE9172-B876-4071-B7EA-DEA63199AA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TV -&gt; Party
</t>
      </text>
    </comment>
    <comment ref="C28" authorId="3" shapeId="0" xr:uid="{78F07789-0D06-4957-8D21-496D9053E8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Study -&gt; Party
</t>
      </text>
    </comment>
    <comment ref="C29" authorId="4" shapeId="0" xr:uid="{B7600E98-3F37-4E63-AADB-72934E0283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Party -&gt; Pub
</t>
      </text>
    </comment>
    <comment ref="D29" authorId="5" shapeId="0" xr:uid="{9046670D-1684-4FBB-AB4E-07637DD697BD}">
      <text>
        <r>
          <rPr>
            <b/>
            <sz val="9"/>
            <color indexed="81"/>
            <rFont val="Tahoma"/>
            <family val="2"/>
          </rPr>
          <t xml:space="preserve">Đến từ E32
</t>
        </r>
      </text>
    </comment>
    <comment ref="C30" authorId="6" shapeId="0" xr:uid="{D2049570-5A05-4E00-BBE7-B622A7C98372}">
      <text>
        <t>[Threaded comment]
Your version of Excel allows you to read this threaded comment; however, any edits to it will get removed if the file is opened in a newer version of Excel. Learn more: https://go.microsoft.com/fwlink/?linkid=870924
Comment:
    Pub -&gt; Pub</t>
      </text>
    </comment>
    <comment ref="C31" authorId="7" shapeId="0" xr:uid="{345A01E5-9F1A-4C1F-AF92-906358A2DE1D}">
      <text>
        <t>[Threaded comment]
Your version of Excel allows you to read this threaded comment; however, any edits to it will get removed if the file is opened in a newer version of Excel. Learn more: https://go.microsoft.com/fwlink/?linkid=870924
Comment:
    TV -&gt; Pub</t>
      </text>
    </comment>
    <comment ref="C32" authorId="8" shapeId="0" xr:uid="{75A1DC63-0521-4B33-BC85-11E41AE0DD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Study -&gt; Pub</t>
      </text>
    </comment>
    <comment ref="F33" authorId="5" shapeId="0" xr:uid="{7A8824FA-8BCE-4A4E-AB60-9B8ECEBE319A}">
      <text>
        <r>
          <rPr>
            <b/>
            <sz val="9"/>
            <color indexed="81"/>
            <rFont val="Tahoma"/>
            <family val="2"/>
          </rPr>
          <t xml:space="preserve">Kết luận đầu tiên: ngày thứ 3 là TV.
</t>
        </r>
      </text>
    </comment>
    <comment ref="B37" authorId="5" shapeId="0" xr:uid="{CC0FDAC9-2F7D-4BA2-A6E4-E83954B2A896}">
      <text>
        <r>
          <rPr>
            <b/>
            <sz val="9"/>
            <color indexed="81"/>
            <rFont val="Tahoma"/>
            <family val="2"/>
          </rPr>
          <t xml:space="preserve">Từ C26
</t>
        </r>
      </text>
    </comment>
  </commentList>
</comments>
</file>

<file path=xl/sharedStrings.xml><?xml version="1.0" encoding="utf-8"?>
<sst xmlns="http://schemas.openxmlformats.org/spreadsheetml/2006/main" count="51" uniqueCount="29">
  <si>
    <t>Transition Prob</t>
  </si>
  <si>
    <t>To</t>
  </si>
  <si>
    <t>From</t>
  </si>
  <si>
    <t>Party</t>
  </si>
  <si>
    <t>Pub</t>
  </si>
  <si>
    <t>TV</t>
  </si>
  <si>
    <t>Study</t>
  </si>
  <si>
    <t>Emission Prob</t>
  </si>
  <si>
    <t>Observation</t>
  </si>
  <si>
    <t>Tired</t>
  </si>
  <si>
    <t>Hungover</t>
  </si>
  <si>
    <t>Scared</t>
  </si>
  <si>
    <t>State</t>
  </si>
  <si>
    <t>Forward Algorithm</t>
  </si>
  <si>
    <t>Scare</t>
  </si>
  <si>
    <t>alpha_0(y0)</t>
  </si>
  <si>
    <t>alpha_1(y1)</t>
  </si>
  <si>
    <t>alpha_2(y2)</t>
  </si>
  <si>
    <r>
      <t xml:space="preserve">Chuỗi trạng thái dự đoán: </t>
    </r>
    <r>
      <rPr>
        <b/>
        <sz val="11"/>
        <color rgb="FFFF0000"/>
        <rFont val="Aptos Narrow"/>
        <family val="2"/>
        <scheme val="minor"/>
      </rPr>
      <t>Pub -&gt; TV -&gt; TV</t>
    </r>
  </si>
  <si>
    <t>Viterbi Algorithm</t>
  </si>
  <si>
    <t>Hidden State</t>
  </si>
  <si>
    <t>T1 = Tired</t>
  </si>
  <si>
    <t>T2 = Tired</t>
  </si>
  <si>
    <t>T3 = Scare</t>
  </si>
  <si>
    <t>B1. Với Quan sát T1 là Tired, ta nhân từng (trạng thái ẩn phát ra quan sát) với 0.25, kết quả được alpha_0</t>
  </si>
  <si>
    <t>B2. từ các alpha_0 của các trạng thái ẩn, ta tiến hành tìm trạng thái ẩn ở timestep 2. ví dụ ô C24 = a0 của Pub x xác suất chuyển từ Pub sang Party, đại diện cho Trường hợp Pub -&gt; Party. Như vậy 4 ô đầu trong cột này lần lượt là xác suất từ một trạng thái bất kì sang Party (Pub -&gt; party, Party -&gt; party...)</t>
  </si>
  <si>
    <t>B3. Note: phải nhân với chuyển trạng thái thì mới thành alpha được</t>
  </si>
  <si>
    <t>Backtrack từ ngày thứ 3: lớn nhất là TV -&gt; backtrack ngược cột trước xác suất thứ 2 lớn nhất (0.0072) -&gt; Timestep thứ 2 là trạng thái Pub -&gt; tiếp tục backtrack lại cột trước thì 0.03 lớn nhất ở hàng thứ 4 -&gt; hidden state ta chọn là thứ 4 - tức Study.</t>
  </si>
  <si>
    <r>
      <t xml:space="preserve">Chuỗi trạng thái dự đoán: </t>
    </r>
    <r>
      <rPr>
        <b/>
        <sz val="11"/>
        <color rgb="FFFF0000"/>
        <rFont val="Aptos Narrow"/>
        <family val="2"/>
        <scheme val="minor"/>
      </rPr>
      <t>Study -&gt; Pub -&gt; TV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</si>
</sst>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444500</xdr:colOff>
      <xdr:row>1</xdr:row>
      <xdr:rowOff>15394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42929-1095-21CB-F2FD-0CB34B228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4731" cy="240885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RẦN QUANG HUY" id="{E2CB55D1-B47A-41C0-B843-BF9E1FF1A35B}" userId="S::huy.tranquanghcmutk22@hcmut.edu.vn::16bb4165-8d36-4484-9815-795a4a69fa2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018520-568E-44F6-95BE-9D0F1D363DCE}" name="Table2" displayName="Table2" ref="A4:E9" totalsRowShown="0">
  <autoFilter ref="A4:E9" xr:uid="{05018520-568E-44F6-95BE-9D0F1D363DCE}"/>
  <tableColumns count="5">
    <tableColumn id="1" xr3:uid="{D7FC0FC9-6C79-406C-A3B9-17A2C0FCFD75}" name="To"/>
    <tableColumn id="2" xr3:uid="{00F903ED-D27E-4A61-A73B-39147A3124F5}" name="Party"/>
    <tableColumn id="3" xr3:uid="{84A2F27D-CBDC-43E7-B956-9519308E0643}" name="Pub"/>
    <tableColumn id="4" xr3:uid="{62CA03E6-21FA-4C46-8349-EE1EBAB6F15F}" name="TV"/>
    <tableColumn id="5" xr3:uid="{962AABAE-99D9-42B1-998F-225C6A9FF76B}" name="Stud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70AA1-5323-4DAC-8ED8-EF3D01E4A845}" name="Table3" displayName="Table3" ref="I4:M9" totalsRowShown="0">
  <autoFilter ref="I4:M9" xr:uid="{95070AA1-5323-4DAC-8ED8-EF3D01E4A845}"/>
  <tableColumns count="5">
    <tableColumn id="1" xr3:uid="{D9836800-B942-4817-879B-BA334F24E413}" name="State"/>
    <tableColumn id="2" xr3:uid="{6FAF7273-D8F1-4EFC-A418-A582756C4B83}" name="Party"/>
    <tableColumn id="3" xr3:uid="{44916E54-6896-424C-BC02-185CE3B2CCD8}" name="Pub"/>
    <tableColumn id="4" xr3:uid="{8F3C7189-C390-4993-9DFE-6B3C3D042C8A}" name="TV"/>
    <tableColumn id="5" xr3:uid="{30D715D5-3221-4341-985C-A972BB0C335D}" name="Stud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5" dT="2026-03-19T15:25:10.61" personId="{E2CB55D1-B47A-41C0-B843-BF9E1FF1A35B}" id="{6E0FC966-D26C-425C-856D-71AC841FC136}">
    <text>Party -&gt; Party</text>
  </threadedComment>
  <threadedComment ref="C26" dT="2026-03-19T15:25:23.17" personId="{E2CB55D1-B47A-41C0-B843-BF9E1FF1A35B}" id="{7381B599-E4F3-4D80-88F1-D869F95DC37E}">
    <text xml:space="preserve">Pub -&gt; Party
</text>
  </threadedComment>
  <threadedComment ref="C27" dT="2026-03-19T15:25:42.80" personId="{E2CB55D1-B47A-41C0-B843-BF9E1FF1A35B}" id="{13BE9172-B876-4071-B7EA-DEA63199AA4E}">
    <text xml:space="preserve">TV -&gt; Party
</text>
  </threadedComment>
  <threadedComment ref="C28" dT="2026-03-19T15:25:59.40" personId="{E2CB55D1-B47A-41C0-B843-BF9E1FF1A35B}" id="{78F07789-0D06-4957-8D21-496D9053E818}">
    <text xml:space="preserve">Study -&gt; Party
</text>
  </threadedComment>
  <threadedComment ref="C29" dT="2026-03-19T15:26:33.37" personId="{E2CB55D1-B47A-41C0-B843-BF9E1FF1A35B}" id="{B7600E98-3F37-4E63-AADB-72934E028332}">
    <text xml:space="preserve">Party -&gt; Pub
</text>
  </threadedComment>
  <threadedComment ref="C30" dT="2026-03-19T15:26:59.75" personId="{E2CB55D1-B47A-41C0-B843-BF9E1FF1A35B}" id="{D2049570-5A05-4E00-BBE7-B622A7C98372}">
    <text>Pub -&gt; Pub</text>
  </threadedComment>
  <threadedComment ref="C31" dT="2026-03-19T15:27:08.59" personId="{E2CB55D1-B47A-41C0-B843-BF9E1FF1A35B}" id="{345A01E5-9F1A-4C1F-AF92-906358A2DE1D}">
    <text>TV -&gt; Pub</text>
  </threadedComment>
  <threadedComment ref="C32" dT="2026-03-19T15:27:16.85" personId="{E2CB55D1-B47A-41C0-B843-BF9E1FF1A35B}" id="{75A1DC63-0521-4B33-BC85-11E41AE0DD93}">
    <text>Study -&gt; Pub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BBF8-11DC-406E-84D9-8D34F176CDB8}">
  <dimension ref="A1:M46"/>
  <sheetViews>
    <sheetView tabSelected="1" zoomScale="130" zoomScaleNormal="130" workbookViewId="0">
      <selection activeCell="F14" sqref="F14"/>
    </sheetView>
  </sheetViews>
  <sheetFormatPr defaultRowHeight="14.5" x14ac:dyDescent="0.35"/>
  <cols>
    <col min="1" max="1" width="17.1796875" customWidth="1"/>
    <col min="2" max="2" width="10.81640625" customWidth="1"/>
    <col min="3" max="3" width="14.7265625" customWidth="1"/>
    <col min="4" max="4" width="11.6328125" customWidth="1"/>
    <col min="5" max="5" width="17.7265625" customWidth="1"/>
    <col min="6" max="6" width="11.6328125" customWidth="1"/>
    <col min="9" max="9" width="12.1796875" customWidth="1"/>
  </cols>
  <sheetData>
    <row r="1" spans="1:13" ht="188.5" customHeight="1" x14ac:dyDescent="0.35"/>
    <row r="2" spans="1:13" ht="17.5" customHeight="1" x14ac:dyDescent="0.35"/>
    <row r="3" spans="1:13" x14ac:dyDescent="0.35">
      <c r="A3" s="2" t="s">
        <v>0</v>
      </c>
      <c r="I3" s="2" t="s">
        <v>7</v>
      </c>
    </row>
    <row r="4" spans="1:13" x14ac:dyDescent="0.35">
      <c r="A4" t="s">
        <v>1</v>
      </c>
      <c r="B4" t="s">
        <v>3</v>
      </c>
      <c r="C4" t="s">
        <v>4</v>
      </c>
      <c r="D4" t="s">
        <v>5</v>
      </c>
      <c r="E4" t="s">
        <v>6</v>
      </c>
      <c r="I4" t="s">
        <v>12</v>
      </c>
      <c r="J4" t="s">
        <v>3</v>
      </c>
      <c r="K4" t="s">
        <v>4</v>
      </c>
      <c r="L4" t="s">
        <v>5</v>
      </c>
      <c r="M4" t="s">
        <v>6</v>
      </c>
    </row>
    <row r="5" spans="1:13" x14ac:dyDescent="0.35">
      <c r="A5" t="s">
        <v>2</v>
      </c>
      <c r="I5" t="s">
        <v>8</v>
      </c>
    </row>
    <row r="6" spans="1:13" x14ac:dyDescent="0.35">
      <c r="A6" t="s">
        <v>3</v>
      </c>
      <c r="B6">
        <v>0.05</v>
      </c>
      <c r="C6">
        <v>0.05</v>
      </c>
      <c r="D6">
        <v>0.7</v>
      </c>
      <c r="E6">
        <v>0.2</v>
      </c>
      <c r="I6" t="s">
        <v>9</v>
      </c>
      <c r="J6">
        <v>0.3</v>
      </c>
      <c r="K6">
        <v>0.4</v>
      </c>
      <c r="L6">
        <v>0.2</v>
      </c>
      <c r="M6">
        <v>0.3</v>
      </c>
    </row>
    <row r="7" spans="1:13" x14ac:dyDescent="0.35">
      <c r="A7" t="s">
        <v>4</v>
      </c>
      <c r="B7">
        <v>0.1</v>
      </c>
      <c r="C7">
        <v>0.05</v>
      </c>
      <c r="D7">
        <v>0.6</v>
      </c>
      <c r="E7">
        <v>0.25</v>
      </c>
      <c r="I7" t="s">
        <v>10</v>
      </c>
      <c r="J7">
        <v>0.4</v>
      </c>
      <c r="K7">
        <v>0.2</v>
      </c>
      <c r="L7">
        <v>0.1</v>
      </c>
      <c r="M7">
        <v>0.05</v>
      </c>
    </row>
    <row r="8" spans="1:13" x14ac:dyDescent="0.35">
      <c r="A8" t="s">
        <v>5</v>
      </c>
      <c r="B8">
        <v>0.1</v>
      </c>
      <c r="C8">
        <v>0.3</v>
      </c>
      <c r="D8">
        <v>0.4</v>
      </c>
      <c r="E8">
        <v>0.2</v>
      </c>
      <c r="I8" t="s">
        <v>11</v>
      </c>
      <c r="J8">
        <v>0.2</v>
      </c>
      <c r="K8">
        <v>0.1</v>
      </c>
      <c r="L8">
        <v>0.2</v>
      </c>
      <c r="M8">
        <v>0.3</v>
      </c>
    </row>
    <row r="9" spans="1:13" x14ac:dyDescent="0.35">
      <c r="A9" t="s">
        <v>6</v>
      </c>
      <c r="B9">
        <v>0.25</v>
      </c>
      <c r="C9">
        <v>0.4</v>
      </c>
      <c r="D9">
        <v>0.3</v>
      </c>
      <c r="E9">
        <v>0.05</v>
      </c>
      <c r="I9" t="s">
        <v>6</v>
      </c>
      <c r="J9">
        <v>0.1</v>
      </c>
      <c r="K9">
        <v>0.3</v>
      </c>
      <c r="L9">
        <v>0.5</v>
      </c>
      <c r="M9">
        <v>0.35</v>
      </c>
    </row>
    <row r="12" spans="1:13" x14ac:dyDescent="0.35">
      <c r="A12" s="3" t="s">
        <v>13</v>
      </c>
    </row>
    <row r="13" spans="1:13" x14ac:dyDescent="0.35">
      <c r="B13" t="s">
        <v>15</v>
      </c>
      <c r="C13" t="s">
        <v>16</v>
      </c>
      <c r="D13" t="s">
        <v>17</v>
      </c>
    </row>
    <row r="14" spans="1:13" x14ac:dyDescent="0.35">
      <c r="A14" t="s">
        <v>3</v>
      </c>
      <c r="B14">
        <f>J6*0.25</f>
        <v>7.4999999999999997E-2</v>
      </c>
      <c r="C14">
        <f>J6*(B14*B6+B15*B7+B16*B8+B17*B9)</f>
        <v>1.1250000000000001E-2</v>
      </c>
      <c r="D14" s="4">
        <f>J8*(C14*B6+C15*B7+C16*B8+C17*B9)</f>
        <v>1.9687500000000004E-3</v>
      </c>
      <c r="F14" t="s">
        <v>18</v>
      </c>
    </row>
    <row r="15" spans="1:13" x14ac:dyDescent="0.35">
      <c r="A15" t="s">
        <v>4</v>
      </c>
      <c r="B15" s="3">
        <f>K6*0.25</f>
        <v>0.1</v>
      </c>
      <c r="C15">
        <f>K6*(B14*C6+B15*C7+B16*C8+B17*C9)</f>
        <v>2.1500000000000002E-2</v>
      </c>
      <c r="D15">
        <f>K8*(C14*C6+C15*C7+C16*C8+C17*C9)</f>
        <v>1.7387500000000001E-3</v>
      </c>
    </row>
    <row r="16" spans="1:13" x14ac:dyDescent="0.35">
      <c r="A16" t="s">
        <v>5</v>
      </c>
      <c r="B16">
        <f>0.2*0.25</f>
        <v>0.05</v>
      </c>
      <c r="C16" s="3">
        <f>L6*(B14*D6+B15*D7+B16*D8+B17*D9)</f>
        <v>3.1E-2</v>
      </c>
      <c r="D16" s="3">
        <f>L8*(C14*D6+C15*D7+C16*D8+C17*D9)</f>
        <v>7.6025000000000016E-3</v>
      </c>
    </row>
    <row r="17" spans="1:12" x14ac:dyDescent="0.35">
      <c r="A17" t="s">
        <v>6</v>
      </c>
      <c r="B17">
        <f>0.3*0.25</f>
        <v>7.4999999999999997E-2</v>
      </c>
      <c r="C17">
        <f>M6*(B14*E6+B15*E7+E8*B16+B17*E9)</f>
        <v>1.6125E-2</v>
      </c>
      <c r="D17">
        <f>M8*(C14*E6+C15*E7+C16*E8+C17*E9)</f>
        <v>4.389375E-3</v>
      </c>
    </row>
    <row r="18" spans="1:12" x14ac:dyDescent="0.35">
      <c r="B18" s="1" t="s">
        <v>9</v>
      </c>
      <c r="C18" s="1" t="s">
        <v>9</v>
      </c>
      <c r="D18" s="1" t="s">
        <v>14</v>
      </c>
    </row>
    <row r="20" spans="1:12" x14ac:dyDescent="0.35">
      <c r="B20" s="2" t="s">
        <v>4</v>
      </c>
      <c r="C20" s="2" t="s">
        <v>5</v>
      </c>
      <c r="D20" s="2" t="s">
        <v>5</v>
      </c>
    </row>
    <row r="23" spans="1:12" x14ac:dyDescent="0.35">
      <c r="A23" s="3" t="s">
        <v>19</v>
      </c>
    </row>
    <row r="24" spans="1:12" x14ac:dyDescent="0.35">
      <c r="A24" t="s">
        <v>20</v>
      </c>
    </row>
    <row r="25" spans="1:12" x14ac:dyDescent="0.35">
      <c r="A25" t="s">
        <v>3</v>
      </c>
      <c r="B25">
        <f>0.25*J6</f>
        <v>7.4999999999999997E-2</v>
      </c>
      <c r="C25">
        <f>B25*B6</f>
        <v>3.7499999999999999E-3</v>
      </c>
      <c r="D25">
        <f>MAX(C25:C28)*J6</f>
        <v>5.6249999999999998E-3</v>
      </c>
      <c r="E25">
        <f>D25*B6</f>
        <v>2.8124999999999998E-4</v>
      </c>
      <c r="F25">
        <f>E28*J8</f>
        <v>3.7500000000000001E-4</v>
      </c>
      <c r="L25" t="s">
        <v>24</v>
      </c>
    </row>
    <row r="26" spans="1:12" x14ac:dyDescent="0.35">
      <c r="C26">
        <f>B29*B7</f>
        <v>1.0000000000000002E-2</v>
      </c>
      <c r="E26">
        <f>D29*B7</f>
        <v>1.2000000000000001E-3</v>
      </c>
      <c r="L26" t="s">
        <v>25</v>
      </c>
    </row>
    <row r="27" spans="1:12" x14ac:dyDescent="0.35">
      <c r="C27">
        <f>B33*B8</f>
        <v>5.000000000000001E-3</v>
      </c>
      <c r="E27">
        <f>D33*B8</f>
        <v>1.2000000000000001E-3</v>
      </c>
      <c r="L27" t="s">
        <v>26</v>
      </c>
    </row>
    <row r="28" spans="1:12" x14ac:dyDescent="0.35">
      <c r="C28" s="2">
        <f>B37*B9</f>
        <v>1.8749999999999999E-2</v>
      </c>
      <c r="E28" s="2">
        <f>D37*B9</f>
        <v>1.8749999999999999E-3</v>
      </c>
    </row>
    <row r="29" spans="1:12" x14ac:dyDescent="0.35">
      <c r="A29" t="s">
        <v>4</v>
      </c>
      <c r="B29">
        <f>0.25*K6</f>
        <v>0.1</v>
      </c>
      <c r="C29">
        <f>B25*C6</f>
        <v>3.7499999999999999E-3</v>
      </c>
      <c r="D29" s="3">
        <f>MAX(C29:C32)*K6</f>
        <v>1.2E-2</v>
      </c>
      <c r="E29">
        <f>D25*C6</f>
        <v>2.8124999999999998E-4</v>
      </c>
      <c r="F29">
        <f>E31*K8</f>
        <v>3.6000000000000002E-4</v>
      </c>
    </row>
    <row r="30" spans="1:12" x14ac:dyDescent="0.35">
      <c r="C30">
        <f>B29*C7</f>
        <v>5.000000000000001E-3</v>
      </c>
      <c r="E30">
        <f>D29*C7</f>
        <v>6.0000000000000006E-4</v>
      </c>
    </row>
    <row r="31" spans="1:12" x14ac:dyDescent="0.35">
      <c r="C31">
        <f>B33*C8</f>
        <v>1.4999999999999999E-2</v>
      </c>
      <c r="E31" s="2">
        <f>D33*C8</f>
        <v>3.5999999999999999E-3</v>
      </c>
    </row>
    <row r="32" spans="1:12" x14ac:dyDescent="0.35">
      <c r="C32" s="2">
        <f>B37*C9</f>
        <v>0.03</v>
      </c>
      <c r="E32">
        <f>D37*C9</f>
        <v>3.0000000000000001E-3</v>
      </c>
    </row>
    <row r="33" spans="1:8" x14ac:dyDescent="0.35">
      <c r="A33" t="s">
        <v>5</v>
      </c>
      <c r="B33">
        <f>0.25*L6</f>
        <v>0.05</v>
      </c>
      <c r="C33">
        <f>B25*D6</f>
        <v>5.2499999999999998E-2</v>
      </c>
      <c r="D33">
        <f>MAX(C33:C36)*L6</f>
        <v>1.2E-2</v>
      </c>
      <c r="E33">
        <f>D25*D6</f>
        <v>3.9375E-3</v>
      </c>
      <c r="F33" s="3">
        <f>E34*L8</f>
        <v>1.4400000000000001E-3</v>
      </c>
    </row>
    <row r="34" spans="1:8" x14ac:dyDescent="0.35">
      <c r="C34" s="2">
        <f>B29*D7</f>
        <v>0.06</v>
      </c>
      <c r="E34" s="2">
        <f>D29*D7</f>
        <v>7.1999999999999998E-3</v>
      </c>
      <c r="H34" t="s">
        <v>28</v>
      </c>
    </row>
    <row r="35" spans="1:8" x14ac:dyDescent="0.35">
      <c r="C35">
        <f>B33*D8</f>
        <v>2.0000000000000004E-2</v>
      </c>
      <c r="E35">
        <f>D33*D8</f>
        <v>4.8000000000000004E-3</v>
      </c>
    </row>
    <row r="36" spans="1:8" x14ac:dyDescent="0.35">
      <c r="C36">
        <f>B37*D9</f>
        <v>2.2499999999999999E-2</v>
      </c>
      <c r="E36">
        <f>D37*D9</f>
        <v>2.2499999999999998E-3</v>
      </c>
    </row>
    <row r="37" spans="1:8" x14ac:dyDescent="0.35">
      <c r="A37" t="s">
        <v>6</v>
      </c>
      <c r="B37" s="3">
        <f>0.25*M6</f>
        <v>7.4999999999999997E-2</v>
      </c>
      <c r="C37">
        <f>B25*E6</f>
        <v>1.4999999999999999E-2</v>
      </c>
      <c r="D37">
        <f>MAX(C37:C40)*M6</f>
        <v>7.4999999999999997E-3</v>
      </c>
      <c r="E37">
        <f>D25*E6</f>
        <v>1.1249999999999999E-3</v>
      </c>
      <c r="F37">
        <f>E38*M8</f>
        <v>8.9999999999999998E-4</v>
      </c>
    </row>
    <row r="38" spans="1:8" x14ac:dyDescent="0.35">
      <c r="C38" s="2">
        <f>B29*E7</f>
        <v>2.5000000000000001E-2</v>
      </c>
      <c r="E38" s="2">
        <f>D29*E7</f>
        <v>3.0000000000000001E-3</v>
      </c>
    </row>
    <row r="39" spans="1:8" x14ac:dyDescent="0.35">
      <c r="C39">
        <f>B33*E8</f>
        <v>1.0000000000000002E-2</v>
      </c>
      <c r="E39">
        <f>D33*E8</f>
        <v>2.4000000000000002E-3</v>
      </c>
    </row>
    <row r="40" spans="1:8" x14ac:dyDescent="0.35">
      <c r="C40">
        <f>B37*E9</f>
        <v>3.7499999999999999E-3</v>
      </c>
      <c r="E40">
        <f>D37*E9</f>
        <v>3.7500000000000001E-4</v>
      </c>
    </row>
    <row r="41" spans="1:8" x14ac:dyDescent="0.35">
      <c r="B41" s="5" t="s">
        <v>21</v>
      </c>
      <c r="D41" s="5" t="s">
        <v>22</v>
      </c>
      <c r="F41" s="5" t="s">
        <v>23</v>
      </c>
    </row>
    <row r="46" spans="1:8" ht="47.5" customHeight="1" x14ac:dyDescent="0.35">
      <c r="A46" s="6" t="s">
        <v>27</v>
      </c>
      <c r="B46" s="6"/>
      <c r="C46" s="6"/>
      <c r="D46" s="6"/>
      <c r="E46" s="6"/>
    </row>
  </sheetData>
  <mergeCells count="1">
    <mergeCell ref="A46:E46"/>
  </mergeCells>
  <pageMargins left="0.7" right="0.7" top="0.75" bottom="0.75" header="0.3" footer="0.3"/>
  <drawing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hidden markov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HUY</dc:creator>
  <cp:lastModifiedBy>TRẦN QUANG HUY</cp:lastModifiedBy>
  <dcterms:created xsi:type="dcterms:W3CDTF">2026-03-17T14:02:04Z</dcterms:created>
  <dcterms:modified xsi:type="dcterms:W3CDTF">2026-03-23T07:06:06Z</dcterms:modified>
</cp:coreProperties>
</file>